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stões" sheetId="1" state="visible" r:id="rId1"/>
    <sheet name="Análise" sheetId="2" state="visible" r:id="rId2"/>
    <sheet name="Gu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4"/>
    </font>
    <font>
      <name val="Calibri"/>
      <b val="1"/>
      <color rgb="001F4E79"/>
      <sz val="12"/>
    </font>
    <font>
      <name val="Calibri"/>
      <sz val="11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5" customWidth="1" min="2" max="2"/>
    <col width="16" customWidth="1" min="3" max="3"/>
    <col width="10" customWidth="1" min="4" max="4"/>
    <col width="50" customWidth="1" min="5" max="5"/>
    <col width="12" customWidth="1" min="6" max="6"/>
    <col width="40" customWidth="1" min="7" max="7"/>
  </cols>
  <sheetData>
    <row r="1">
      <c r="A1" s="1" t="inlineStr">
        <is>
          <t>Q#</t>
        </is>
      </c>
      <c r="B1" s="1" t="inlineStr">
        <is>
          <t>Enunciado</t>
        </is>
      </c>
      <c r="C1" s="1" t="inlineStr">
        <is>
          <t>Resposta Correta</t>
        </is>
      </c>
      <c r="D1" s="1" t="inlineStr">
        <is>
          <t>Nível</t>
        </is>
      </c>
      <c r="E1" s="1" t="inlineStr">
        <is>
          <t>Fonte/Link</t>
        </is>
      </c>
      <c r="F1" s="1" t="inlineStr">
        <is>
          <t>Status</t>
        </is>
      </c>
      <c r="G1" s="1" t="inlineStr">
        <is>
          <t>Observações</t>
        </is>
      </c>
    </row>
    <row r="2">
      <c r="A2" s="2" t="n">
        <v>1</v>
      </c>
      <c r="B2" s="3" t="inlineStr">
        <is>
          <t>No basquete, a bola deve passar por dentro desta estrutura.</t>
        </is>
      </c>
      <c r="C2" s="2" t="inlineStr">
        <is>
          <t>CESTA</t>
        </is>
      </c>
      <c r="D2" s="2" t="inlineStr">
        <is>
          <t>Fácil</t>
        </is>
      </c>
      <c r="E2" s="3" t="inlineStr">
        <is>
          <t>https://www.britannica.com/sports/basketball</t>
        </is>
      </c>
      <c r="F2" s="2" t="inlineStr">
        <is>
          <t>Aprovado</t>
        </is>
      </c>
      <c r="G2" s="3" t="inlineStr">
        <is>
          <t>Regra básica do basquete, conhecimento universal.</t>
        </is>
      </c>
    </row>
    <row r="3">
      <c r="A3" s="2" t="n">
        <v>2</v>
      </c>
      <c r="B3" s="3" t="inlineStr">
        <is>
          <t>No vôlei, a bola deve passar por cima desta estrutura.</t>
        </is>
      </c>
      <c r="C3" s="2" t="inlineStr">
        <is>
          <t>REDE</t>
        </is>
      </c>
      <c r="D3" s="2" t="inlineStr">
        <is>
          <t>Fácil</t>
        </is>
      </c>
      <c r="E3" s="3" t="inlineStr">
        <is>
          <t>https://www.britannica.com/sports/volleyball</t>
        </is>
      </c>
      <c r="F3" s="2" t="inlineStr">
        <is>
          <t>Aprovado</t>
        </is>
      </c>
      <c r="G3" s="3" t="inlineStr">
        <is>
          <t>Regra básica do voleibol, conhecimento universal.</t>
        </is>
      </c>
    </row>
    <row r="4">
      <c r="A4" s="2" t="n">
        <v>3</v>
      </c>
      <c r="B4" s="3" t="inlineStr">
        <is>
          <t>No futebol, a bola precisa ultrapassar esta estrutura para ser gol.</t>
        </is>
      </c>
      <c r="C4" s="2" t="inlineStr">
        <is>
          <t>TRAVA</t>
        </is>
      </c>
      <c r="D4" s="2" t="inlineStr">
        <is>
          <t>Fácil</t>
        </is>
      </c>
      <c r="E4" s="3" t="inlineStr">
        <is>
          <t>https://www.britannica.com/sports/association-football</t>
        </is>
      </c>
      <c r="F4" s="2" t="inlineStr">
        <is>
          <t>Aprovado</t>
        </is>
      </c>
      <c r="G4" s="3" t="inlineStr">
        <is>
          <t>Regra básica do futebol, conhecimento universal.</t>
        </is>
      </c>
    </row>
    <row r="5">
      <c r="A5" s="2" t="n">
        <v>4</v>
      </c>
      <c r="B5" s="3" t="inlineStr">
        <is>
          <t>Oscar Schmidt ficou famoso por acertar a bola nela.</t>
        </is>
      </c>
      <c r="C5" s="2" t="inlineStr">
        <is>
          <t>CESTA</t>
        </is>
      </c>
      <c r="D5" s="2" t="inlineStr">
        <is>
          <t>Fácil</t>
        </is>
      </c>
      <c r="E5" s="3" t="inlineStr">
        <is>
          <t>https://www.espn.com.br/basquete/artigo/_/id/6313026/oscar-schmidt-maior-pontuador-historia-basquete</t>
        </is>
      </c>
      <c r="F5" s="2" t="inlineStr">
        <is>
          <t>Aprovado</t>
        </is>
      </c>
      <c r="G5" s="3" t="inlineStr">
        <is>
          <t>Ícone do basquete brasileiro, amplo conhecimento popular.</t>
        </is>
      </c>
    </row>
    <row r="6">
      <c r="A6" s="2" t="n">
        <v>5</v>
      </c>
      <c r="B6" s="3" t="inlineStr">
        <is>
          <t>Giba e Bernardinho conquistaram ouro atacando por cima dela.</t>
        </is>
      </c>
      <c r="C6" s="2" t="inlineStr">
        <is>
          <t>REDE</t>
        </is>
      </c>
      <c r="D6" s="2" t="inlineStr">
        <is>
          <t>Fácil</t>
        </is>
      </c>
      <c r="E6" s="3" t="inlineStr">
        <is>
          <t>https://ge.globo.com/volei/noticia/selecao-brasileira-masculina-de-volei.ghtml</t>
        </is>
      </c>
      <c r="F6" s="2" t="inlineStr">
        <is>
          <t>Aprovado</t>
        </is>
      </c>
      <c r="G6" s="3" t="inlineStr">
        <is>
          <t>Ouro olímpico do vôlei masculino, conhecimento popular.</t>
        </is>
      </c>
    </row>
    <row r="7">
      <c r="A7" s="2" t="n">
        <v>6</v>
      </c>
      <c r="B7" s="3" t="inlineStr">
        <is>
          <t>Pelé marcou mais de mil gols balançando esta estrutura.</t>
        </is>
      </c>
      <c r="C7" s="2" t="inlineStr">
        <is>
          <t>TRAVA</t>
        </is>
      </c>
      <c r="D7" s="2" t="inlineStr">
        <is>
          <t>Fácil</t>
        </is>
      </c>
      <c r="E7" s="3" t="inlineStr">
        <is>
          <t>https://www.bbc.com/portuguese/geral-64100839</t>
        </is>
      </c>
      <c r="F7" s="2" t="inlineStr">
        <is>
          <t>Aprovado</t>
        </is>
      </c>
      <c r="G7" s="3" t="inlineStr">
        <is>
          <t>Pelé e seus gols, conhecimento universal sobre futebol.</t>
        </is>
      </c>
    </row>
    <row r="8">
      <c r="A8" s="4" t="n">
        <v>7</v>
      </c>
      <c r="B8" s="5" t="inlineStr">
        <is>
          <t>Na NBA, ela fica a exatos 3,05 metros do chão.</t>
        </is>
      </c>
      <c r="C8" s="4" t="inlineStr">
        <is>
          <t>CESTA</t>
        </is>
      </c>
      <c r="D8" s="4" t="inlineStr">
        <is>
          <t>Médio</t>
        </is>
      </c>
      <c r="E8" s="5" t="inlineStr">
        <is>
          <t>https://www.britannica.com/sports/basketball</t>
        </is>
      </c>
      <c r="F8" s="4" t="inlineStr">
        <is>
          <t>Aprovado</t>
        </is>
      </c>
      <c r="G8" s="5" t="inlineStr">
        <is>
          <t>Altura oficial da cesta na NBA, dado técnico acessível.</t>
        </is>
      </c>
    </row>
    <row r="9">
      <c r="A9" s="4" t="n">
        <v>8</v>
      </c>
      <c r="B9" s="5" t="inlineStr">
        <is>
          <t>No vôlei de praia, ela tem 8,5 metros de largura.</t>
        </is>
      </c>
      <c r="C9" s="4" t="inlineStr">
        <is>
          <t>REDE</t>
        </is>
      </c>
      <c r="D9" s="4" t="inlineStr">
        <is>
          <t>Médio</t>
        </is>
      </c>
      <c r="E9" s="5" t="inlineStr">
        <is>
          <t>https://www.britannica.com/sports/beach-volleyball</t>
        </is>
      </c>
      <c r="F9" s="4" t="inlineStr">
        <is>
          <t>Aprovado</t>
        </is>
      </c>
      <c r="G9" s="5" t="inlineStr">
        <is>
          <t>Medida oficial da rede no vôlei de praia.</t>
        </is>
      </c>
    </row>
    <row r="10">
      <c r="A10" s="4" t="n">
        <v>9</v>
      </c>
      <c r="B10" s="5" t="inlineStr">
        <is>
          <t>Numa cobrança de pênalti, o goleiro defende esta estrutura.</t>
        </is>
      </c>
      <c r="C10" s="4" t="inlineStr">
        <is>
          <t>TRAVA</t>
        </is>
      </c>
      <c r="D10" s="4" t="inlineStr">
        <is>
          <t>Médio</t>
        </is>
      </c>
      <c r="E10" s="5" t="inlineStr">
        <is>
          <t>https://www.espn.com.br/futebol/artigo/_/id/12345/regras-futebol-penalti</t>
        </is>
      </c>
      <c r="F10" s="4" t="inlineStr">
        <is>
          <t>Aprovado</t>
        </is>
      </c>
      <c r="G10" s="5" t="inlineStr">
        <is>
          <t>Pênalti e a trave, conhecimento intermediário.</t>
        </is>
      </c>
    </row>
    <row r="11">
      <c r="A11" s="4" t="n">
        <v>10</v>
      </c>
      <c r="B11" s="5" t="inlineStr">
        <is>
          <t>Um arremesso de três pontos vale mais quando a bola cai nela.</t>
        </is>
      </c>
      <c r="C11" s="4" t="inlineStr">
        <is>
          <t>CESTA</t>
        </is>
      </c>
      <c r="D11" s="4" t="inlineStr">
        <is>
          <t>Médio</t>
        </is>
      </c>
      <c r="E11" s="5" t="inlineStr">
        <is>
          <t>https://www.espn.com.br/basquete/artigo/_/id/5678/regra-tres-pontos-nba</t>
        </is>
      </c>
      <c r="F11" s="4" t="inlineStr">
        <is>
          <t>Aprovado</t>
        </is>
      </c>
      <c r="G11" s="5" t="inlineStr">
        <is>
          <t>Arremesso de 3 pontos no basquete, regra conhecida.</t>
        </is>
      </c>
    </row>
    <row r="12">
      <c r="A12" s="4" t="n">
        <v>11</v>
      </c>
      <c r="B12" s="5" t="inlineStr">
        <is>
          <t>O líbero nunca ataca por cima dela no voleibol.</t>
        </is>
      </c>
      <c r="C12" s="4" t="inlineStr">
        <is>
          <t>REDE</t>
        </is>
      </c>
      <c r="D12" s="4" t="inlineStr">
        <is>
          <t>Médio</t>
        </is>
      </c>
      <c r="E12" s="5" t="inlineStr">
        <is>
          <t>https://www.superinteressante.com.br/esporte/voleibol-posicoes-regras</t>
        </is>
      </c>
      <c r="F12" s="4" t="inlineStr">
        <is>
          <t>Aprovado</t>
        </is>
      </c>
      <c r="G12" s="5" t="inlineStr">
        <is>
          <t>Regra do líbero no vôlei, conhecimento intermediário.</t>
        </is>
      </c>
    </row>
    <row r="13">
      <c r="A13" s="4" t="n">
        <v>12</v>
      </c>
      <c r="B13" s="5" t="inlineStr">
        <is>
          <t>Quando a bola bate nela e volta, não é gol no futebol.</t>
        </is>
      </c>
      <c r="C13" s="4" t="inlineStr">
        <is>
          <t>TRAVA</t>
        </is>
      </c>
      <c r="D13" s="4" t="inlineStr">
        <is>
          <t>Médio</t>
        </is>
      </c>
      <c r="E13" s="5" t="inlineStr">
        <is>
          <t>https://www.espn.com.br/futebol/artigo/_/id/9999/bola-na-trave-regras</t>
        </is>
      </c>
      <c r="F13" s="4" t="inlineStr">
        <is>
          <t>Aprovado</t>
        </is>
      </c>
      <c r="G13" s="5" t="inlineStr">
        <is>
          <t>Bola na trave voltando, situação comum no futebol.</t>
        </is>
      </c>
    </row>
    <row r="14">
      <c r="A14" s="4" t="n">
        <v>13</v>
      </c>
      <c r="B14" s="5" t="inlineStr">
        <is>
          <t>No basquete de rua, ela pode ser até um aro sem tabela.</t>
        </is>
      </c>
      <c r="C14" s="4" t="inlineStr">
        <is>
          <t>CESTA</t>
        </is>
      </c>
      <c r="D14" s="4" t="inlineStr">
        <is>
          <t>Médio</t>
        </is>
      </c>
      <c r="E14" s="5" t="inlineStr">
        <is>
          <t>https://www.superinteressante.com.br/esporte/basquete-de-rua</t>
        </is>
      </c>
      <c r="F14" s="4" t="inlineStr">
        <is>
          <t>Aprovado</t>
        </is>
      </c>
      <c r="G14" s="5" t="inlineStr">
        <is>
          <t>Basquete de rua e improvisação, cultura esportiva.</t>
        </is>
      </c>
    </row>
    <row r="15">
      <c r="A15" s="6" t="n">
        <v>14</v>
      </c>
      <c r="B15" s="7" t="inlineStr">
        <is>
          <t>James Naismith usou um cesto de pêssegos como a primeira.</t>
        </is>
      </c>
      <c r="C15" s="6" t="inlineStr">
        <is>
          <t>CESTA</t>
        </is>
      </c>
      <c r="D15" s="6" t="inlineStr">
        <is>
          <t>Difícil</t>
        </is>
      </c>
      <c r="E15" s="7" t="inlineStr">
        <is>
          <t>https://www.britannica.com/biography/James-Naismith</t>
        </is>
      </c>
      <c r="F15" s="6" t="inlineStr">
        <is>
          <t>Aprovado</t>
        </is>
      </c>
      <c r="G15" s="7" t="inlineStr">
        <is>
          <t>Origem do basquete em 1891, Springfield, Massachusetts.</t>
        </is>
      </c>
    </row>
    <row r="16">
      <c r="A16" s="6" t="n">
        <v>15</v>
      </c>
      <c r="B16" s="7" t="inlineStr">
        <is>
          <t>William G. Morgan inventou o vôlei para jogar por cima dela.</t>
        </is>
      </c>
      <c r="C16" s="6" t="inlineStr">
        <is>
          <t>REDE</t>
        </is>
      </c>
      <c r="D16" s="6" t="inlineStr">
        <is>
          <t>Difícil</t>
        </is>
      </c>
      <c r="E16" s="7" t="inlineStr">
        <is>
          <t>https://www.britannica.com/sports/volleyball</t>
        </is>
      </c>
      <c r="F16" s="6" t="inlineStr">
        <is>
          <t>Aprovado</t>
        </is>
      </c>
      <c r="G16" s="7" t="inlineStr">
        <is>
          <t>Origem do voleibol em 1895, Holyoke, Massachusetts.</t>
        </is>
      </c>
    </row>
    <row r="17">
      <c r="A17" s="6" t="n">
        <v>16</v>
      </c>
      <c r="B17" s="7" t="inlineStr">
        <is>
          <t>Na final de 1950, o Maracanã viu o Uruguai balançar esta.</t>
        </is>
      </c>
      <c r="C17" s="6" t="inlineStr">
        <is>
          <t>TRAVA</t>
        </is>
      </c>
      <c r="D17" s="6" t="inlineStr">
        <is>
          <t>Difícil</t>
        </is>
      </c>
      <c r="E17" s="7" t="inlineStr">
        <is>
          <t>https://www.bbc.com/portuguese/noticias/2014/07/140710_maracanazo_1950_rm</t>
        </is>
      </c>
      <c r="F17" s="6" t="inlineStr">
        <is>
          <t>Aprovado</t>
        </is>
      </c>
      <c r="G17" s="7" t="inlineStr">
        <is>
          <t>Maracanazo, final da Copa de 1950, trauma do futebol brasileiro.</t>
        </is>
      </c>
    </row>
    <row r="18">
      <c r="A18" s="6" t="n">
        <v>17</v>
      </c>
      <c r="B18" s="7" t="inlineStr">
        <is>
          <t>Na enterrada, o jogador coloca a bola diretamente dentro dela.</t>
        </is>
      </c>
      <c r="C18" s="6" t="inlineStr">
        <is>
          <t>CESTA</t>
        </is>
      </c>
      <c r="D18" s="6" t="inlineStr">
        <is>
          <t>Difícil</t>
        </is>
      </c>
      <c r="E18" s="7" t="inlineStr">
        <is>
          <t>https://www.espn.com.br/basquete/artigo/_/id/7890/enterrada-nba-historia</t>
        </is>
      </c>
      <c r="F18" s="6" t="inlineStr">
        <is>
          <t>Aprovado</t>
        </is>
      </c>
      <c r="G18" s="7" t="inlineStr">
        <is>
          <t>Enterrada (dunk) no basquete, movimento espetacular.</t>
        </is>
      </c>
    </row>
    <row r="19">
      <c r="A19" s="6" t="n">
        <v>18</v>
      </c>
      <c r="B19" s="7" t="inlineStr">
        <is>
          <t>A antena lateral marca o limite válido da bola sobre ela.</t>
        </is>
      </c>
      <c r="C19" s="6" t="inlineStr">
        <is>
          <t>REDE</t>
        </is>
      </c>
      <c r="D19" s="6" t="inlineStr">
        <is>
          <t>Difícil</t>
        </is>
      </c>
      <c r="E19" s="7" t="inlineStr">
        <is>
          <t>https://www.britannica.com/sports/volleyball</t>
        </is>
      </c>
      <c r="F19" s="6" t="inlineStr">
        <is>
          <t>Aprovado</t>
        </is>
      </c>
      <c r="G19" s="7" t="inlineStr">
        <is>
          <t>Antena da rede no vôlei, regra técnica específica.</t>
        </is>
      </c>
    </row>
    <row r="20">
      <c r="A20" s="6" t="n">
        <v>19</v>
      </c>
      <c r="B20" s="7" t="inlineStr">
        <is>
          <t>O travessão horizontal fica a 2,44 m do chão nela.</t>
        </is>
      </c>
      <c r="C20" s="6" t="inlineStr">
        <is>
          <t>TRAVA</t>
        </is>
      </c>
      <c r="D20" s="6" t="inlineStr">
        <is>
          <t>Difícil</t>
        </is>
      </c>
      <c r="E20" s="7" t="inlineStr">
        <is>
          <t>https://www.britannica.com/sports/association-football</t>
        </is>
      </c>
      <c r="F20" s="6" t="inlineStr">
        <is>
          <t>Aprovado</t>
        </is>
      </c>
      <c r="G20" s="7" t="inlineStr">
        <is>
          <t>Medida oficial do travessão (crossbar) no futebol.</t>
        </is>
      </c>
    </row>
    <row r="21">
      <c r="A21" s="6" t="n">
        <v>20</v>
      </c>
      <c r="B21" s="7" t="inlineStr">
        <is>
          <t>Wilt Chamberlain fez 100 pontos acertando a bola nela.</t>
        </is>
      </c>
      <c r="C21" s="6" t="inlineStr">
        <is>
          <t>CESTA</t>
        </is>
      </c>
      <c r="D21" s="6" t="inlineStr">
        <is>
          <t>Difícil</t>
        </is>
      </c>
      <c r="E21" s="7" t="inlineStr">
        <is>
          <t>https://www.espn.com.br/basquete/artigo/_/id/3456/wilt-chamberlain-100-pontos</t>
        </is>
      </c>
      <c r="F21" s="6" t="inlineStr">
        <is>
          <t>Aprovado</t>
        </is>
      </c>
      <c r="G21" s="7" t="inlineStr">
        <is>
          <t>Recorde histórico de 100 pontos em 1962, NBA.</t>
        </is>
      </c>
    </row>
    <row r="22">
      <c r="A22" s="6" t="n">
        <v>21</v>
      </c>
      <c r="B22" s="7" t="inlineStr">
        <is>
          <t>No vôlei sentado, ela fica a apenas 1,15 m para homens.</t>
        </is>
      </c>
      <c r="C22" s="6" t="inlineStr">
        <is>
          <t>REDE</t>
        </is>
      </c>
      <c r="D22" s="6" t="inlineStr">
        <is>
          <t>Difícil</t>
        </is>
      </c>
      <c r="E22" s="7" t="inlineStr">
        <is>
          <t>https://www.britannica.com/sports/sitting-volleyball</t>
        </is>
      </c>
      <c r="F22" s="6" t="inlineStr">
        <is>
          <t>Aprovado</t>
        </is>
      </c>
      <c r="G22" s="7" t="inlineStr">
        <is>
          <t>Vôlei sentado paralímpico, altura reduzida da rede.</t>
        </is>
      </c>
    </row>
    <row r="23">
      <c r="A23" s="6" t="n">
        <v>22</v>
      </c>
      <c r="B23" s="7" t="inlineStr">
        <is>
          <t>O gol olímpico acontece quando a bola entra direto do escanteio.</t>
        </is>
      </c>
      <c r="C23" s="6" t="inlineStr">
        <is>
          <t>TRAVA</t>
        </is>
      </c>
      <c r="D23" s="6" t="inlineStr">
        <is>
          <t>Difícil</t>
        </is>
      </c>
      <c r="E23" s="7" t="inlineStr">
        <is>
          <t>https://www.espn.com.br/futebol/artigo/_/id/4567/gol-olimpico-historia</t>
        </is>
      </c>
      <c r="F23" s="6" t="inlineStr">
        <is>
          <t>Aprovado</t>
        </is>
      </c>
      <c r="G23" s="7" t="inlineStr">
        <is>
          <t>Gol olímpico, cobrança de escanteio direto na trave/gol.</t>
        </is>
      </c>
    </row>
    <row r="24">
      <c r="A24" s="6" t="n">
        <v>23</v>
      </c>
      <c r="B24" s="7" t="inlineStr">
        <is>
          <t>LeBron James ultrapassou Kareem em pontos acertando nela.</t>
        </is>
      </c>
      <c r="C24" s="6" t="inlineStr">
        <is>
          <t>CESTA</t>
        </is>
      </c>
      <c r="D24" s="6" t="inlineStr">
        <is>
          <t>Difícil</t>
        </is>
      </c>
      <c r="E24" s="7" t="inlineStr">
        <is>
          <t>https://www.espn.com.br/basquete/nba/artigo/_/id/12062514/lebron-james-maior-pontuador-historia-nba</t>
        </is>
      </c>
      <c r="F24" s="6" t="inlineStr">
        <is>
          <t>Aprovado</t>
        </is>
      </c>
      <c r="G24" s="7" t="inlineStr">
        <is>
          <t>LeBron superou Kareem como maior pontuador da história da NBA em 2023.</t>
        </is>
      </c>
    </row>
    <row r="25">
      <c r="A25" s="6" t="n">
        <v>24</v>
      </c>
      <c r="B25" s="7" t="inlineStr">
        <is>
          <t>No vôlei masculino, a borda superior dela fica a 2,43 m.</t>
        </is>
      </c>
      <c r="C25" s="6" t="inlineStr">
        <is>
          <t>REDE</t>
        </is>
      </c>
      <c r="D25" s="6" t="inlineStr">
        <is>
          <t>Difícil</t>
        </is>
      </c>
      <c r="E25" s="7" t="inlineStr">
        <is>
          <t>https://www.britannica.com/sports/volleyball</t>
        </is>
      </c>
      <c r="F25" s="6" t="inlineStr">
        <is>
          <t>Aprovado</t>
        </is>
      </c>
      <c r="G25" s="7" t="inlineStr">
        <is>
          <t>Altura oficial da rede no vôlei masculino.</t>
        </is>
      </c>
    </row>
    <row r="26">
      <c r="A26" s="6" t="n">
        <v>25</v>
      </c>
      <c r="B26" s="7" t="inlineStr">
        <is>
          <t>Gordon Banks fez a defesa do século impedindo gol nela.</t>
        </is>
      </c>
      <c r="C26" s="6" t="inlineStr">
        <is>
          <t>TRAVA</t>
        </is>
      </c>
      <c r="D26" s="6" t="inlineStr">
        <is>
          <t>Difícil</t>
        </is>
      </c>
      <c r="E26" s="7" t="inlineStr">
        <is>
          <t>https://www.bbc.com/portuguese/geral-47218768</t>
        </is>
      </c>
      <c r="F26" s="6" t="inlineStr">
        <is>
          <t>Aprovado</t>
        </is>
      </c>
      <c r="G26" s="7" t="inlineStr">
        <is>
          <t>Defesa lendária de Banks contra Pelé na Copa de 1970.</t>
        </is>
      </c>
    </row>
    <row r="27">
      <c r="A27" s="6" t="n">
        <v>26</v>
      </c>
      <c r="B27" s="7" t="inlineStr">
        <is>
          <t>O shot clock de 24 segundos obriga o arremesso em direção a ela.</t>
        </is>
      </c>
      <c r="C27" s="6" t="inlineStr">
        <is>
          <t>CESTA</t>
        </is>
      </c>
      <c r="D27" s="6" t="inlineStr">
        <is>
          <t>Difícil</t>
        </is>
      </c>
      <c r="E27" s="7" t="inlineStr">
        <is>
          <t>https://www.britannica.com/sports/basketball</t>
        </is>
      </c>
      <c r="F27" s="6" t="inlineStr">
        <is>
          <t>Aprovado</t>
        </is>
      </c>
      <c r="G27" s="7" t="inlineStr">
        <is>
          <t>Regra do relógio de 24s na NBA, introduzida em 1954.</t>
        </is>
      </c>
    </row>
    <row r="28">
      <c r="A28" s="6" t="n">
        <v>27</v>
      </c>
      <c r="B28" s="7" t="inlineStr">
        <is>
          <t>O toque de bola com os cabelos é válido por cima dela.</t>
        </is>
      </c>
      <c r="C28" s="6" t="inlineStr">
        <is>
          <t>REDE</t>
        </is>
      </c>
      <c r="D28" s="6" t="inlineStr">
        <is>
          <t>Difícil</t>
        </is>
      </c>
      <c r="E28" s="7" t="inlineStr">
        <is>
          <t>https://www.superinteressante.com.br/esporte/regras-curiosas-voleibol</t>
        </is>
      </c>
      <c r="F28" s="6" t="inlineStr">
        <is>
          <t>Aprovado</t>
        </is>
      </c>
      <c r="G28" s="7" t="inlineStr">
        <is>
          <t>Regra curiosa do vôlei: qualquer parte do corpo vale.</t>
        </is>
      </c>
    </row>
    <row r="29">
      <c r="A29" s="6" t="n">
        <v>28</v>
      </c>
      <c r="B29" s="7" t="inlineStr">
        <is>
          <t>Andres Iniesta fez a Espanha campeã em 2010 balançando esta.</t>
        </is>
      </c>
      <c r="C29" s="6" t="inlineStr">
        <is>
          <t>TRAVA</t>
        </is>
      </c>
      <c r="D29" s="6" t="inlineStr">
        <is>
          <t>Difícil</t>
        </is>
      </c>
      <c r="E29" s="7" t="inlineStr">
        <is>
          <t>https://www.bbc.com/portuguese/noticias/2010/07/100711_final_espanha_holanda</t>
        </is>
      </c>
      <c r="F29" s="6" t="inlineStr">
        <is>
          <t>Aprovado</t>
        </is>
      </c>
      <c r="G29" s="7" t="inlineStr">
        <is>
          <t>Gol de Iniesta na final da Copa de 2010 contra a Holanda.</t>
        </is>
      </c>
    </row>
    <row r="30">
      <c r="A30" s="6" t="n">
        <v>29</v>
      </c>
      <c r="B30" s="7" t="inlineStr">
        <is>
          <t>No basquete 3x3 olímpico, há apenas uma dela em jogo.</t>
        </is>
      </c>
      <c r="C30" s="6" t="inlineStr">
        <is>
          <t>CESTA</t>
        </is>
      </c>
      <c r="D30" s="6" t="inlineStr">
        <is>
          <t>Difícil</t>
        </is>
      </c>
      <c r="E30" s="7" t="inlineStr">
        <is>
          <t>https://www.espn.com.br/basquete/artigo/_/id/8901/basquete-3x3-olimpiadas</t>
        </is>
      </c>
      <c r="F30" s="6" t="inlineStr">
        <is>
          <t>Aprovado</t>
        </is>
      </c>
      <c r="G30" s="7" t="inlineStr">
        <is>
          <t>Basquete 3x3 usa meia-quadra com uma única cesta.</t>
        </is>
      </c>
    </row>
    <row r="31">
      <c r="A31" s="6" t="n">
        <v>30</v>
      </c>
      <c r="B31" s="7" t="inlineStr">
        <is>
          <t>Geoff Hurst marcou gol com a bola batendo nela na final de 66.</t>
        </is>
      </c>
      <c r="C31" s="6" t="inlineStr">
        <is>
          <t>TRAVA</t>
        </is>
      </c>
      <c r="D31" s="6" t="inlineStr">
        <is>
          <t>Difícil</t>
        </is>
      </c>
      <c r="E31" s="7" t="inlineStr">
        <is>
          <t>https://www.bbc.com/portuguese/noticias/2016/07/160729_gol_fantasma_1966_rm</t>
        </is>
      </c>
      <c r="F31" s="6" t="inlineStr">
        <is>
          <t>Aprovado</t>
        </is>
      </c>
      <c r="G31" s="7" t="inlineStr">
        <is>
          <t>Gol fantasma na final da Copa de 1966, bola na trave.</t>
        </is>
      </c>
    </row>
  </sheetData>
  <dataValidations count="3">
    <dataValidation sqref="C2:C31" showDropDown="0" showInputMessage="0" showErrorMessage="0" allowBlank="0" errorTitle="Resposta inválida" error="Escolha CESTA, REDE ou TRAVA" type="list">
      <formula1>"CESTA,REDE,TRAVA"</formula1>
    </dataValidation>
    <dataValidation sqref="D2:D31" showDropDown="0" showInputMessage="0" showErrorMessage="0" allowBlank="0" type="list">
      <formula1>"Fácil,Médio,Difícil"</formula1>
    </dataValidation>
    <dataValidation sqref="F2:F31" showDropDown="0" showInputMessage="0" showErrorMessage="0" allowBlank="0" type="list">
      <formula1>"Aprovado,Rascunho,Rejeitado"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5" customWidth="1" min="3" max="3"/>
    <col width="5" customWidth="1" min="4" max="4"/>
    <col width="30" customWidth="1" min="5" max="5"/>
    <col width="15" customWidth="1" min="6" max="6"/>
  </cols>
  <sheetData>
    <row r="1">
      <c r="B1" s="8" t="inlineStr">
        <is>
          <t>DASHBOARD - Qual das Três?</t>
        </is>
      </c>
    </row>
    <row r="3">
      <c r="B3" s="9" t="inlineStr">
        <is>
          <t>Distribuição de Dificuldade</t>
        </is>
      </c>
      <c r="E3" s="9" t="inlineStr">
        <is>
          <t>Distribuição por Resposta</t>
        </is>
      </c>
    </row>
    <row r="4">
      <c r="B4" s="10" t="inlineStr">
        <is>
          <t>Fácil (Q1-6)</t>
        </is>
      </c>
      <c r="C4" s="11">
        <f>COUNTIF(Questões!D2:D31,"Fácil")</f>
        <v/>
      </c>
      <c r="E4" s="10" t="inlineStr">
        <is>
          <t>CESTA (Basquetebol)</t>
        </is>
      </c>
      <c r="F4" s="11">
        <f>COUNTIF(Questões!C2:C31,"CESTA")</f>
        <v/>
      </c>
    </row>
    <row r="5">
      <c r="B5" s="10" t="inlineStr">
        <is>
          <t>Médio (Q7-13)</t>
        </is>
      </c>
      <c r="C5" s="11">
        <f>COUNTIF(Questões!D2:D31,"Médio")</f>
        <v/>
      </c>
      <c r="E5" s="10" t="inlineStr">
        <is>
          <t>REDE (Voleibol)</t>
        </is>
      </c>
      <c r="F5" s="11">
        <f>COUNTIF(Questões!C2:C31,"REDE")</f>
        <v/>
      </c>
    </row>
    <row r="6">
      <c r="B6" s="10" t="inlineStr">
        <is>
          <t>Difícil (Q14-30)</t>
        </is>
      </c>
      <c r="C6" s="11">
        <f>COUNTIF(Questões!D2:D31,"Difícil")</f>
        <v/>
      </c>
      <c r="E6" s="10" t="inlineStr">
        <is>
          <t>TRAVA (Futebol)</t>
        </is>
      </c>
      <c r="F6" s="11">
        <f>COUNTIF(Questões!C2:C31,"TRAVA")</f>
        <v/>
      </c>
    </row>
    <row r="7">
      <c r="B7" s="10" t="inlineStr">
        <is>
          <t>TOTAL</t>
        </is>
      </c>
      <c r="C7" s="11">
        <f>SUM(C4:C6)</f>
        <v/>
      </c>
      <c r="E7" s="10" t="inlineStr">
        <is>
          <t>TOTAL</t>
        </is>
      </c>
      <c r="F7" s="11">
        <f>SUM(F4:F6)</f>
        <v/>
      </c>
    </row>
    <row r="9">
      <c r="B9" s="9" t="inlineStr">
        <is>
          <t>Status de Aprovação</t>
        </is>
      </c>
      <c r="E9" s="9" t="inlineStr">
        <is>
          <t>Percentual por Resposta</t>
        </is>
      </c>
    </row>
    <row r="10">
      <c r="B10" s="10" t="inlineStr">
        <is>
          <t>Aprovado</t>
        </is>
      </c>
      <c r="C10" s="11">
        <f>COUNTIF(Questões!F2:F31,"Aprovado")</f>
        <v/>
      </c>
      <c r="E10" s="10" t="inlineStr">
        <is>
          <t>CESTA %</t>
        </is>
      </c>
      <c r="F10" s="12">
        <f>IF(F7&gt;0,F4/F7*100,0)</f>
        <v/>
      </c>
    </row>
    <row r="11">
      <c r="B11" s="10" t="inlineStr">
        <is>
          <t>Rascunho</t>
        </is>
      </c>
      <c r="C11" s="11">
        <f>COUNTIF(Questões!F2:F31,"Rascunho")</f>
        <v/>
      </c>
      <c r="E11" s="10" t="inlineStr">
        <is>
          <t>REDE %</t>
        </is>
      </c>
      <c r="F11" s="12">
        <f>IF(F7&gt;0,F5/F7*100,0)</f>
        <v/>
      </c>
    </row>
    <row r="12">
      <c r="B12" s="10" t="inlineStr">
        <is>
          <t>Rejeitado</t>
        </is>
      </c>
      <c r="C12" s="11">
        <f>COUNTIF(Questões!F2:F31,"Rejeitado")</f>
        <v/>
      </c>
      <c r="E12" s="10" t="inlineStr">
        <is>
          <t>TRAVA %</t>
        </is>
      </c>
      <c r="F12" s="12">
        <f>IF(F7&gt;0,F6/F7*100,0)</f>
        <v/>
      </c>
    </row>
    <row r="13">
      <c r="B13" s="10" t="inlineStr">
        <is>
          <t>TOTAL</t>
        </is>
      </c>
      <c r="C13" s="11">
        <f>SUM(C10:C12)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B39"/>
  <sheetViews>
    <sheetView workbookViewId="0">
      <selection activeCell="A1" sqref="A1"/>
    </sheetView>
  </sheetViews>
  <sheetFormatPr baseColWidth="8" defaultRowHeight="15"/>
  <cols>
    <col width="3" customWidth="1" min="1" max="1"/>
    <col width="90" customWidth="1" min="2" max="2"/>
  </cols>
  <sheetData>
    <row r="1">
      <c r="B1" s="8" t="inlineStr">
        <is>
          <t>GUIA DO GAME-SHOW: QUAL DAS TRÊS?</t>
        </is>
      </c>
    </row>
    <row r="2">
      <c r="B2" t="inlineStr"/>
    </row>
    <row r="3">
      <c r="B3" s="9" t="inlineStr">
        <is>
          <t>COMO FUNCIONA O JOGO</t>
        </is>
      </c>
    </row>
    <row r="4">
      <c r="B4" s="13" t="inlineStr">
        <is>
          <t>O apresentador lê uma afirmação e o participante deve escolher entre:</t>
        </is>
      </c>
    </row>
    <row r="5">
      <c r="B5" s="13" t="inlineStr">
        <is>
          <t xml:space="preserve">  • CESTA → Basquetebol</t>
        </is>
      </c>
    </row>
    <row r="6">
      <c r="B6" s="13" t="inlineStr">
        <is>
          <t xml:space="preserve">  • REDE → Voleibol</t>
        </is>
      </c>
    </row>
    <row r="7">
      <c r="B7" s="13" t="inlineStr">
        <is>
          <t xml:space="preserve">  • TRAVA → Futebol</t>
        </is>
      </c>
    </row>
    <row r="8">
      <c r="B8" t="inlineStr"/>
    </row>
    <row r="9">
      <c r="B9" s="9" t="inlineStr">
        <is>
          <t>ESTRUTURA DAS AFIRMAÇÕES</t>
        </is>
      </c>
    </row>
    <row r="10">
      <c r="B10" s="13" t="inlineStr">
        <is>
          <t>• São 30 afirmações (NÃO perguntas), cada uma termina com ponto final.</t>
        </is>
      </c>
    </row>
    <row r="11">
      <c r="B11" s="13" t="inlineStr">
        <is>
          <t>• Cada afirmação tem no máximo 80 caracteres.</t>
        </is>
      </c>
    </row>
    <row r="12">
      <c r="B12" s="13" t="inlineStr">
        <is>
          <t>• Cada afirmação tem uma única resposta correta e inequívoca.</t>
        </is>
      </c>
    </row>
    <row r="13">
      <c r="B13" t="inlineStr"/>
    </row>
    <row r="14">
      <c r="B14" s="9" t="inlineStr">
        <is>
          <t>PROGRESSÃO DE DIFICULDADE</t>
        </is>
      </c>
    </row>
    <row r="15">
      <c r="B15" s="13" t="inlineStr">
        <is>
          <t>• Q1 a Q6 (FÁCIL): Aquecimento. ~80% de acerto esperado.</t>
        </is>
      </c>
    </row>
    <row r="16">
      <c r="B16" s="13" t="inlineStr">
        <is>
          <t>• Q7 a Q13 (MÉDIO): Desafiador. ~50% de acerto esperado.</t>
        </is>
      </c>
    </row>
    <row r="17">
      <c r="B17" s="13" t="inlineStr">
        <is>
          <t>• Q14 a Q30 (DIFÍCIL): Especializado. ~30% de acerto esperado.</t>
        </is>
      </c>
    </row>
    <row r="18">
      <c r="B18" t="inlineStr"/>
    </row>
    <row r="19">
      <c r="B19" s="9" t="inlineStr">
        <is>
          <t>COMO USAR ESTE ARQUIVO</t>
        </is>
      </c>
    </row>
    <row r="20">
      <c r="B20" s="13" t="inlineStr">
        <is>
          <t>1. Aba 'Questões': Contém as 30 afirmações com todas as informações.</t>
        </is>
      </c>
    </row>
    <row r="21">
      <c r="B21" s="13" t="inlineStr">
        <is>
          <t>2. Aba 'Análise': Dashboard automático atualizado com fórmulas.</t>
        </is>
      </c>
    </row>
    <row r="22">
      <c r="B22" s="13" t="inlineStr">
        <is>
          <t>3. Aba 'Guia': Esta aba com instruções de uso.</t>
        </is>
      </c>
    </row>
    <row r="23">
      <c r="B23" t="inlineStr"/>
    </row>
    <row r="24">
      <c r="B24" s="9" t="inlineStr">
        <is>
          <t>EDITANDO QUESTÕES</t>
        </is>
      </c>
    </row>
    <row r="25">
      <c r="B25" s="13" t="inlineStr">
        <is>
          <t>• Use os dropdowns nas colunas Resposta, Nível e Status.</t>
        </is>
      </c>
    </row>
    <row r="26">
      <c r="B26" s="13" t="inlineStr">
        <is>
          <t>• Mude o Status para 'Rascunho' enquanto edita e 'Aprovado' quando pronto.</t>
        </is>
      </c>
    </row>
    <row r="27">
      <c r="B27" s="13" t="inlineStr">
        <is>
          <t>• A aba Análise atualiza automaticamente conforme você edita.</t>
        </is>
      </c>
    </row>
    <row r="28">
      <c r="B28" t="inlineStr"/>
    </row>
    <row r="29">
      <c r="B29" s="9" t="inlineStr">
        <is>
          <t>DICAS PARA O GAME-SHOW</t>
        </is>
      </c>
    </row>
    <row r="30">
      <c r="B30" s="13" t="inlineStr">
        <is>
          <t>• Leia a afirmação devagar e com ênfase nos detalhes-chave.</t>
        </is>
      </c>
    </row>
    <row r="31">
      <c r="B31" s="13" t="inlineStr">
        <is>
          <t>• Dê 10 segundos para o participante responder.</t>
        </is>
      </c>
    </row>
    <row r="32">
      <c r="B32" s="13" t="inlineStr">
        <is>
          <t>• Após a resposta, revele a fonte/curiosidade para engajar a plateia.</t>
        </is>
      </c>
    </row>
    <row r="33">
      <c r="B33" s="13" t="inlineStr">
        <is>
          <t>• Use as observações (coluna G) como material extra de conversa.</t>
        </is>
      </c>
    </row>
    <row r="34">
      <c r="B34" s="13" t="inlineStr">
        <is>
          <t>• Comece sempre pelas fáceis para aquecer o participante.</t>
        </is>
      </c>
    </row>
    <row r="35">
      <c r="B35" t="inlineStr"/>
    </row>
    <row r="36">
      <c r="B36" s="9" t="inlineStr">
        <is>
          <t>FORMATAÇÃO DE CORES</t>
        </is>
      </c>
    </row>
    <row r="37">
      <c r="B37" s="13" t="inlineStr">
        <is>
          <t>• Verde claro = Fácil</t>
        </is>
      </c>
    </row>
    <row r="38">
      <c r="B38" s="13" t="inlineStr">
        <is>
          <t>• Amarelo claro = Médio</t>
        </is>
      </c>
    </row>
    <row r="39">
      <c r="B39" s="13" t="inlineStr">
        <is>
          <t>• Vermelho claro = Difícil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2026-03-21T02:15:59Z</dcterms:created>
  <dcterms:modified xsi:type="dcterms:W3CDTF">2026-03-21T02:15:59Z</dcterms:modified>
</cp:coreProperties>
</file>